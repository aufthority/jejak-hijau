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77F678FDD83E7876E373A0C6D7F33519F8AE5863" xr6:coauthVersionLast="47" xr6:coauthVersionMax="47" xr10:uidLastSave="{5F4DD2F1-B8AD-4D91-A1EE-2F7A5F525047}"/>
  <bookViews>
    <workbookView xWindow="0" yWindow="0" windowWidth="16384" windowHeight="8192" tabRatio="500" xr2:uid="{00000000-000D-0000-FFFF-FFFF00000000}"/>
  </bookViews>
  <sheets>
    <sheet name="Semester Data" sheetId="1" r:id="rId1"/>
    <sheet name="Raw - Electricity" sheetId="2" r:id="rId2"/>
    <sheet name="Raw - Paper" sheetId="3" r:id="rId3"/>
    <sheet name="Headcount" sheetId="4" r:id="rId4"/>
    <sheet name="Targets" sheetId="5" r:id="rId5"/>
    <sheet name="Read M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3" l="1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5" i="1"/>
  <c r="D4" i="1"/>
  <c r="D3" i="1"/>
  <c r="D2" i="1"/>
  <c r="G2" i="1" l="1"/>
  <c r="I2" i="1" s="1"/>
  <c r="F2" i="1"/>
  <c r="E2" i="1"/>
  <c r="H2" i="1" s="1"/>
  <c r="G3" i="1"/>
  <c r="I3" i="1" s="1"/>
  <c r="F3" i="1"/>
  <c r="E3" i="1"/>
  <c r="H3" i="1" s="1"/>
  <c r="G4" i="1"/>
  <c r="I4" i="1" s="1"/>
  <c r="F4" i="1"/>
  <c r="E4" i="1"/>
  <c r="H4" i="1" s="1"/>
  <c r="G5" i="1"/>
  <c r="I5" i="1" s="1"/>
  <c r="F5" i="1"/>
  <c r="E5" i="1"/>
  <c r="H5" i="1" s="1"/>
</calcChain>
</file>

<file path=xl/sharedStrings.xml><?xml version="1.0" encoding="utf-8"?>
<sst xmlns="http://schemas.openxmlformats.org/spreadsheetml/2006/main" count="186" uniqueCount="58">
  <si>
    <t>semester</t>
  </si>
  <si>
    <t>start_date</t>
  </si>
  <si>
    <t>end_date</t>
  </si>
  <si>
    <t>students</t>
  </si>
  <si>
    <t>kwh</t>
  </si>
  <si>
    <t>cost_rm</t>
  </si>
  <si>
    <t>sheets</t>
  </si>
  <si>
    <t>kwh_status</t>
  </si>
  <si>
    <t>sheets_status</t>
  </si>
  <si>
    <t>notes</t>
  </si>
  <si>
    <t>Semester 1, 2024/2025</t>
  </si>
  <si>
    <t>Baseline period — first full semester of tracking</t>
  </si>
  <si>
    <t>Semester 2, 2024/2025</t>
  </si>
  <si>
    <t>Hot-season months drove higher AC load</t>
  </si>
  <si>
    <t>Semester 1, 2025/2026</t>
  </si>
  <si>
    <t>New instrumentation lab equipment commissioned mid-semester</t>
  </si>
  <si>
    <t>Semester 2, 2025/2026</t>
  </si>
  <si>
    <t>Consecutive hot-season semester — highest usage on record</t>
  </si>
  <si>
    <t>Month</t>
  </si>
  <si>
    <t>Total_kWh_Campus</t>
  </si>
  <si>
    <t>Rate_RM_per_kWh</t>
  </si>
  <si>
    <t>Cost_RM</t>
  </si>
  <si>
    <t>TNB_Account</t>
  </si>
  <si>
    <t>Notes</t>
  </si>
  <si>
    <t>TNB-KPJU-MAIN-01</t>
  </si>
  <si>
    <t>Monsoon season — lower AC load</t>
  </si>
  <si>
    <t>Hot season — AC load elevated</t>
  </si>
  <si>
    <t>Date</t>
  </si>
  <si>
    <t>Semester</t>
  </si>
  <si>
    <t>Exam_Type</t>
  </si>
  <si>
    <t>Course</t>
  </si>
  <si>
    <t>Reams_Printed</t>
  </si>
  <si>
    <t>Sheets</t>
  </si>
  <si>
    <t>Mid-term</t>
  </si>
  <si>
    <t>PHIA 4312 — Instrumentation Analysis</t>
  </si>
  <si>
    <t>Lab-heavy course, more printed protocols</t>
  </si>
  <si>
    <t>PHCH 4123 — Pharmaceutical Chemistry II</t>
  </si>
  <si>
    <t>Other School of Pharmacy courses (aggregate)</t>
  </si>
  <si>
    <t>Remaining cohorts, aggregated</t>
  </si>
  <si>
    <t>Final</t>
  </si>
  <si>
    <t>Registered_Students</t>
  </si>
  <si>
    <t>Source</t>
  </si>
  <si>
    <t>Date_Recorded</t>
  </si>
  <si>
    <t>Registrar / Programme Office</t>
  </si>
  <si>
    <t>Metric</t>
  </si>
  <si>
    <t>Target (per student, per semester)</t>
  </si>
  <si>
    <t>Electricity (kWh/student)</t>
  </si>
  <si>
    <t>Paper (sheets/student)</t>
  </si>
  <si>
    <t>Note: these targets match the values hardcoded in the Jejak Hijau KPJU dashboard (jejak_hijau_kpju.html). Update both places together if targets change. These are the baseline thresholds the reduction strategy will be measured against.</t>
  </si>
  <si>
    <t>Jejak Hijau KPJU — Dummy Dataset (2-Year Historical Simulation)</t>
  </si>
  <si>
    <t>• This is still placeholder/dummy data — no real KPJU figures are in this workbook. It's built to look and behave like two years of genuinely tracked data (Sep 2024 - Aug 2026), so the dashboard and the eventual reduction-strategy narrative can be developed and tested before real data exists.</t>
  </si>
  <si>
    <t>• Structure: 'Semester Data' (what the dashboard reads) no longer contains typed-in numbers for kwh, cost_rm or sheets — those are FORMULAS that aggregate from three raw tabs: 'Raw - Electricity' (24 monthly meter-style readings), 'Raw - Paper' (exam-cycle-level records by course), and 'Headcount' (per-semester registrar figures). This mirrors how the real pilot data will actually be assembled once collection starts.</t>
  </si>
  <si>
    <t>• Scenario: consistent with the earlier gap analysis, KPJU is modeled as over target and worsening on both electricity and paper intensity across all 4 semesters, with plausible seasonal variation (higher electricity in Malaysia's hotter Feb-May months) and named drivers (e.g. new instrumentation lab equipment in Semester 1 2025/2026) that a reduction strategy could plausibly target.</t>
  </si>
  <si>
    <t>• 'Semester Data' must remain the FIRST sheet (leftmost tab) — the dashboard's upload/link-load only reads the first sheet in the workbook.</t>
  </si>
  <si>
    <t>• IMPORTANT: never add explanatory notes, comments, or extra text as a row below the data table on 'Semester Data' — the dashboard reads every row with content in it as a data row, so a trailing note gets misread as a bogus semester and corrupts the chart. Put any explanation here, in Read Me, instead.</t>
  </si>
  <si>
    <t>• GET (Green Electricity Tariff) enrollment is assumed NOT active in this dummy scenario — the 'Raw - Electricity' tariff rate reflects a standard commercial rate, not a green tariff. This is itself a candidate for the reduction strategy (Group precedent: 25 accounts already GET-enrolled).</t>
  </si>
  <si>
    <t>• Targets sheet mirrors the dashboard's hardcoded targets (42 kWh/student, 30 sheets/student per semester) and is the baseline the ensuing reduction strategy will be measured against.</t>
  </si>
  <si>
    <t>• Next step: once real data collection starts, the raw tabs are what actually get replaced first (real meter readings, real exam-cycle reams, real registrar headcounts) — the Semester Data formulas then flow through automatically without needing to be rebuilt.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</si>
</sst>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dd\ mmm\ yyyy"/>
  </numFmts>
  <fonts count="6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545454"/>
      <name val="Arial"/>
      <charset val="1"/>
    </font>
    <font>
      <b/>
      <sz val="14"/>
      <color rgb="FF0A5C3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A5C36"/>
        <bgColor rgb="FF003366"/>
      </patternFill>
    </fill>
    <fill>
      <patternFill patternType="solid">
        <fgColor rgb="FFFDEAEA"/>
        <bgColor rgb="FFFFFFF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5C36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DEA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54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8" customWidth="1"/>
    <col min="6" max="6" width="10" customWidth="1"/>
    <col min="7" max="7" width="8" customWidth="1"/>
    <col min="8" max="9" width="16" customWidth="1"/>
    <col min="10" max="10" width="40" customWidth="1"/>
  </cols>
  <sheetData>
    <row r="1" spans="1:10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3.75" customHeight="1">
      <c r="A2" s="4" t="s">
        <v>10</v>
      </c>
      <c r="B2" s="5">
        <v>45536</v>
      </c>
      <c r="C2" s="5">
        <v>45716</v>
      </c>
      <c r="D2" s="6">
        <f>VLOOKUP(A2,Headcount!$A:$B,2,FALSE())</f>
        <v>1150</v>
      </c>
      <c r="E2" s="6">
        <f>ROUND(SUMIFS('Raw - Electricity'!$B:$B,'Raw - Electricity'!$A:$A,"&gt;="&amp;B2,'Raw - Electricity'!$A:$A,"&lt;="&amp;C2)/D2,1)</f>
        <v>47.2</v>
      </c>
      <c r="F2" s="6">
        <f>ROUND(SUMIFS('Raw - Electricity'!$D:$D,'Raw - Electricity'!$A:$A,"&gt;="&amp;B2,'Raw - Electricity'!$A:$A,"&lt;="&amp;C2)/D2,2)</f>
        <v>21.1</v>
      </c>
      <c r="G2" s="6">
        <f>ROUND(SUMIFS('Raw - Paper'!$F:$F,'Raw - Paper'!$B:$B,A2)/D2,1)</f>
        <v>36</v>
      </c>
      <c r="H2" s="7" t="str">
        <f>IF(E2&gt;Targets!$B$2,"⚠ Over target","✅ On track")</f>
        <v>⚠ Over target</v>
      </c>
      <c r="I2" s="7" t="str">
        <f>IF(G2&gt;Targets!$B$3,"⚠ Over target","✅ On track")</f>
        <v>⚠ Over target</v>
      </c>
      <c r="J2" s="4" t="s">
        <v>11</v>
      </c>
    </row>
    <row r="3" spans="1:10" ht="33.75" customHeight="1">
      <c r="A3" s="4" t="s">
        <v>12</v>
      </c>
      <c r="B3" s="5">
        <v>45717</v>
      </c>
      <c r="C3" s="5">
        <v>45900</v>
      </c>
      <c r="D3" s="6">
        <f>VLOOKUP(A3,Headcount!$A:$B,2,FALSE())</f>
        <v>1190</v>
      </c>
      <c r="E3" s="6">
        <f>ROUND(SUMIFS('Raw - Electricity'!$B:$B,'Raw - Electricity'!$A:$A,"&gt;="&amp;B3,'Raw - Electricity'!$A:$A,"&lt;="&amp;C3)/D3,1)</f>
        <v>60.1</v>
      </c>
      <c r="F3" s="6">
        <f>ROUND(SUMIFS('Raw - Electricity'!$D:$D,'Raw - Electricity'!$A:$A,"&gt;="&amp;B3,'Raw - Electricity'!$A:$A,"&lt;="&amp;C3)/D3,2)</f>
        <v>27.19</v>
      </c>
      <c r="G3" s="6">
        <f>ROUND(SUMIFS('Raw - Paper'!$F:$F,'Raw - Paper'!$B:$B,A3)/D3,1)</f>
        <v>40</v>
      </c>
      <c r="H3" s="7" t="str">
        <f>IF(E3&gt;Targets!$B$2,"⚠ Over target","✅ On track")</f>
        <v>⚠ Over target</v>
      </c>
      <c r="I3" s="7" t="str">
        <f>IF(G3&gt;Targets!$B$3,"⚠ Over target","✅ On track")</f>
        <v>⚠ Over target</v>
      </c>
      <c r="J3" s="4" t="s">
        <v>13</v>
      </c>
    </row>
    <row r="4" spans="1:10" ht="33.75" customHeight="1">
      <c r="A4" s="4" t="s">
        <v>14</v>
      </c>
      <c r="B4" s="5">
        <v>45901</v>
      </c>
      <c r="C4" s="5">
        <v>46081</v>
      </c>
      <c r="D4" s="6">
        <f>VLOOKUP(A4,Headcount!$A:$B,2,FALSE())</f>
        <v>1230</v>
      </c>
      <c r="E4" s="6">
        <f>ROUND(SUMIFS('Raw - Electricity'!$B:$B,'Raw - Electricity'!$A:$A,"&gt;="&amp;B4,'Raw - Electricity'!$A:$A,"&lt;="&amp;C4)/D4,1)</f>
        <v>54.4</v>
      </c>
      <c r="F4" s="6">
        <f>ROUND(SUMIFS('Raw - Electricity'!$D:$D,'Raw - Electricity'!$A:$A,"&gt;="&amp;B4,'Raw - Electricity'!$A:$A,"&lt;="&amp;C4)/D4,2)</f>
        <v>24.92</v>
      </c>
      <c r="G4" s="6">
        <f>ROUND(SUMIFS('Raw - Paper'!$F:$F,'Raw - Paper'!$B:$B,A4)/D4,1)</f>
        <v>44</v>
      </c>
      <c r="H4" s="7" t="str">
        <f>IF(E4&gt;Targets!$B$2,"⚠ Over target","✅ On track")</f>
        <v>⚠ Over target</v>
      </c>
      <c r="I4" s="7" t="str">
        <f>IF(G4&gt;Targets!$B$3,"⚠ Over target","✅ On track")</f>
        <v>⚠ Over target</v>
      </c>
      <c r="J4" s="4" t="s">
        <v>15</v>
      </c>
    </row>
    <row r="5" spans="1:10" ht="33.75" customHeight="1">
      <c r="A5" s="4" t="s">
        <v>16</v>
      </c>
      <c r="B5" s="5">
        <v>46082</v>
      </c>
      <c r="C5" s="5">
        <v>46265</v>
      </c>
      <c r="D5" s="6">
        <f>VLOOKUP(A5,Headcount!$A:$B,2,FALSE())</f>
        <v>1270</v>
      </c>
      <c r="E5" s="6">
        <f>ROUND(SUMIFS('Raw - Electricity'!$B:$B,'Raw - Electricity'!$A:$A,"&gt;="&amp;B5,'Raw - Electricity'!$A:$A,"&lt;="&amp;C5)/D5,1)</f>
        <v>68.599999999999994</v>
      </c>
      <c r="F5" s="6">
        <f>ROUND(SUMIFS('Raw - Electricity'!$D:$D,'Raw - Electricity'!$A:$A,"&gt;="&amp;B5,'Raw - Electricity'!$A:$A,"&lt;="&amp;C5)/D5,2)</f>
        <v>31.78</v>
      </c>
      <c r="G5" s="6">
        <f>ROUND(SUMIFS('Raw - Paper'!$F:$F,'Raw - Paper'!$B:$B,A5)/D5,1)</f>
        <v>48</v>
      </c>
      <c r="H5" s="7" t="str">
        <f>IF(E5&gt;Targets!$B$2,"⚠ Over target","✅ On track")</f>
        <v>⚠ Over target</v>
      </c>
      <c r="I5" s="7" t="str">
        <f>IF(G5&gt;Targets!$B$3,"⚠ Over target","✅ On track")</f>
        <v>⚠ Over target</v>
      </c>
      <c r="J5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4" customWidth="1"/>
    <col min="2" max="2" width="18" customWidth="1"/>
    <col min="3" max="3" width="16" customWidth="1"/>
    <col min="4" max="4" width="12" customWidth="1"/>
    <col min="5" max="5" width="18" customWidth="1"/>
    <col min="6" max="6" width="32" customWidth="1"/>
  </cols>
  <sheetData>
    <row r="1" spans="1:6" ht="23.8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>
      <c r="A2" s="8">
        <v>45536</v>
      </c>
      <c r="B2" s="9">
        <v>9290</v>
      </c>
      <c r="C2" s="9">
        <v>0.44500000000000001</v>
      </c>
      <c r="D2" s="9">
        <f>ROUND(B2*C2,2)</f>
        <v>4134.05</v>
      </c>
      <c r="E2" s="9" t="s">
        <v>24</v>
      </c>
      <c r="F2" s="9"/>
    </row>
    <row r="3" spans="1:6">
      <c r="A3" s="8">
        <v>45566</v>
      </c>
      <c r="B3" s="9">
        <v>8990</v>
      </c>
      <c r="C3" s="9">
        <v>0.44590000000000002</v>
      </c>
      <c r="D3" s="9">
        <f>ROUND(B3*C3,2)</f>
        <v>4008.64</v>
      </c>
      <c r="E3" s="9" t="s">
        <v>24</v>
      </c>
      <c r="F3" s="9"/>
    </row>
    <row r="4" spans="1:6">
      <c r="A4" s="8">
        <v>45597</v>
      </c>
      <c r="B4" s="9">
        <v>8600</v>
      </c>
      <c r="C4" s="9">
        <v>0.44679999999999997</v>
      </c>
      <c r="D4" s="9">
        <f>ROUND(B4*C4,2)</f>
        <v>3842.48</v>
      </c>
      <c r="E4" s="9" t="s">
        <v>24</v>
      </c>
      <c r="F4" s="9" t="s">
        <v>25</v>
      </c>
    </row>
    <row r="5" spans="1:6">
      <c r="A5" s="8">
        <v>45627</v>
      </c>
      <c r="B5" s="9">
        <v>8310</v>
      </c>
      <c r="C5" s="9">
        <v>0.44769999999999999</v>
      </c>
      <c r="D5" s="9">
        <f>ROUND(B5*C5,2)</f>
        <v>3720.39</v>
      </c>
      <c r="E5" s="9" t="s">
        <v>24</v>
      </c>
      <c r="F5" s="9" t="s">
        <v>25</v>
      </c>
    </row>
    <row r="6" spans="1:6">
      <c r="A6" s="8">
        <v>45658</v>
      </c>
      <c r="B6" s="9">
        <v>8800</v>
      </c>
      <c r="C6" s="9">
        <v>0.4486</v>
      </c>
      <c r="D6" s="9">
        <f>ROUND(B6*C6,2)</f>
        <v>3947.68</v>
      </c>
      <c r="E6" s="9" t="s">
        <v>24</v>
      </c>
      <c r="F6" s="9" t="s">
        <v>25</v>
      </c>
    </row>
    <row r="7" spans="1:6">
      <c r="A7" s="8">
        <v>45689</v>
      </c>
      <c r="B7" s="9">
        <v>10260</v>
      </c>
      <c r="C7" s="9">
        <v>0.44950000000000001</v>
      </c>
      <c r="D7" s="9">
        <f>ROUND(B7*C7,2)</f>
        <v>4611.87</v>
      </c>
      <c r="E7" s="9" t="s">
        <v>24</v>
      </c>
      <c r="F7" s="9"/>
    </row>
    <row r="8" spans="1:6">
      <c r="A8" s="8">
        <v>45717</v>
      </c>
      <c r="B8" s="9">
        <v>12590</v>
      </c>
      <c r="C8" s="9">
        <v>0.45040000000000002</v>
      </c>
      <c r="D8" s="9">
        <f>ROUND(B8*C8,2)</f>
        <v>5670.54</v>
      </c>
      <c r="E8" s="9" t="s">
        <v>24</v>
      </c>
      <c r="F8" s="9" t="s">
        <v>26</v>
      </c>
    </row>
    <row r="9" spans="1:6">
      <c r="A9" s="8">
        <v>45748</v>
      </c>
      <c r="B9" s="9">
        <v>12920</v>
      </c>
      <c r="C9" s="9">
        <v>0.45129999999999998</v>
      </c>
      <c r="D9" s="9">
        <f>ROUND(B9*C9,2)</f>
        <v>5830.8</v>
      </c>
      <c r="E9" s="9" t="s">
        <v>24</v>
      </c>
      <c r="F9" s="9" t="s">
        <v>26</v>
      </c>
    </row>
    <row r="10" spans="1:6">
      <c r="A10" s="8">
        <v>45778</v>
      </c>
      <c r="B10" s="9">
        <v>12590</v>
      </c>
      <c r="C10" s="9">
        <v>0.45219999999999999</v>
      </c>
      <c r="D10" s="9">
        <f>ROUND(B10*C10,2)</f>
        <v>5693.2</v>
      </c>
      <c r="E10" s="9" t="s">
        <v>24</v>
      </c>
      <c r="F10" s="9" t="s">
        <v>26</v>
      </c>
    </row>
    <row r="11" spans="1:6">
      <c r="A11" s="8">
        <v>45809</v>
      </c>
      <c r="B11" s="9">
        <v>11500</v>
      </c>
      <c r="C11" s="9">
        <v>0.4531</v>
      </c>
      <c r="D11" s="9">
        <f>ROUND(B11*C11,2)</f>
        <v>5210.6499999999996</v>
      </c>
      <c r="E11" s="9" t="s">
        <v>24</v>
      </c>
      <c r="F11" s="9"/>
    </row>
    <row r="12" spans="1:6">
      <c r="A12" s="8">
        <v>45839</v>
      </c>
      <c r="B12" s="9">
        <v>10950</v>
      </c>
      <c r="C12" s="9">
        <v>0.45400000000000001</v>
      </c>
      <c r="D12" s="9">
        <f>ROUND(B12*C12,2)</f>
        <v>4971.3</v>
      </c>
      <c r="E12" s="9" t="s">
        <v>24</v>
      </c>
      <c r="F12" s="9"/>
    </row>
    <row r="13" spans="1:6">
      <c r="A13" s="8">
        <v>45870</v>
      </c>
      <c r="B13" s="9">
        <v>10950</v>
      </c>
      <c r="C13" s="9">
        <v>0.45490000000000003</v>
      </c>
      <c r="D13" s="9">
        <f>ROUND(B13*C13,2)</f>
        <v>4981.16</v>
      </c>
      <c r="E13" s="9" t="s">
        <v>24</v>
      </c>
      <c r="F13" s="9"/>
    </row>
    <row r="14" spans="1:6">
      <c r="A14" s="8">
        <v>45901</v>
      </c>
      <c r="B14" s="9">
        <v>11450</v>
      </c>
      <c r="C14" s="9">
        <v>0.45579999999999998</v>
      </c>
      <c r="D14" s="9">
        <f>ROUND(B14*C14,2)</f>
        <v>5218.91</v>
      </c>
      <c r="E14" s="9" t="s">
        <v>24</v>
      </c>
      <c r="F14" s="9"/>
    </row>
    <row r="15" spans="1:6">
      <c r="A15" s="8">
        <v>45931</v>
      </c>
      <c r="B15" s="9">
        <v>11090</v>
      </c>
      <c r="C15" s="9">
        <v>0.45669999999999999</v>
      </c>
      <c r="D15" s="9">
        <f>ROUND(B15*C15,2)</f>
        <v>5064.8</v>
      </c>
      <c r="E15" s="9" t="s">
        <v>24</v>
      </c>
      <c r="F15" s="9"/>
    </row>
    <row r="16" spans="1:6">
      <c r="A16" s="8">
        <v>45962</v>
      </c>
      <c r="B16" s="9">
        <v>10610</v>
      </c>
      <c r="C16" s="9">
        <v>0.45760000000000001</v>
      </c>
      <c r="D16" s="9">
        <f>ROUND(B16*C16,2)</f>
        <v>4855.1400000000003</v>
      </c>
      <c r="E16" s="9" t="s">
        <v>24</v>
      </c>
      <c r="F16" s="9" t="s">
        <v>25</v>
      </c>
    </row>
    <row r="17" spans="1:6">
      <c r="A17" s="8">
        <v>45992</v>
      </c>
      <c r="B17" s="9">
        <v>10250</v>
      </c>
      <c r="C17" s="9">
        <v>0.45850000000000002</v>
      </c>
      <c r="D17" s="9">
        <f>ROUND(B17*C17,2)</f>
        <v>4699.63</v>
      </c>
      <c r="E17" s="9" t="s">
        <v>24</v>
      </c>
      <c r="F17" s="9" t="s">
        <v>25</v>
      </c>
    </row>
    <row r="18" spans="1:6">
      <c r="A18" s="8">
        <v>46023</v>
      </c>
      <c r="B18" s="9">
        <v>10850</v>
      </c>
      <c r="C18" s="9">
        <v>0.45939999999999998</v>
      </c>
      <c r="D18" s="9">
        <f>ROUND(B18*C18,2)</f>
        <v>4984.49</v>
      </c>
      <c r="E18" s="9" t="s">
        <v>24</v>
      </c>
      <c r="F18" s="9" t="s">
        <v>25</v>
      </c>
    </row>
    <row r="19" spans="1:6">
      <c r="A19" s="8">
        <v>46054</v>
      </c>
      <c r="B19" s="9">
        <v>12660</v>
      </c>
      <c r="C19" s="9">
        <v>0.46029999999999999</v>
      </c>
      <c r="D19" s="9">
        <f>ROUND(B19*C19,2)</f>
        <v>5827.4</v>
      </c>
      <c r="E19" s="9" t="s">
        <v>24</v>
      </c>
      <c r="F19" s="9"/>
    </row>
    <row r="20" spans="1:6">
      <c r="A20" s="8">
        <v>46082</v>
      </c>
      <c r="B20" s="9">
        <v>15340</v>
      </c>
      <c r="C20" s="9">
        <v>0.4612</v>
      </c>
      <c r="D20" s="9">
        <f>ROUND(B20*C20,2)</f>
        <v>7074.81</v>
      </c>
      <c r="E20" s="9" t="s">
        <v>24</v>
      </c>
      <c r="F20" s="9" t="s">
        <v>26</v>
      </c>
    </row>
    <row r="21" spans="1:6">
      <c r="A21" s="8">
        <v>46113</v>
      </c>
      <c r="B21" s="9">
        <v>15740</v>
      </c>
      <c r="C21" s="9">
        <v>0.46210000000000001</v>
      </c>
      <c r="D21" s="9">
        <f>ROUND(B21*C21,2)</f>
        <v>7273.45</v>
      </c>
      <c r="E21" s="9" t="s">
        <v>24</v>
      </c>
      <c r="F21" s="9" t="s">
        <v>26</v>
      </c>
    </row>
    <row r="22" spans="1:6">
      <c r="A22" s="8">
        <v>46143</v>
      </c>
      <c r="B22" s="9">
        <v>15340</v>
      </c>
      <c r="C22" s="9">
        <v>0.46300000000000002</v>
      </c>
      <c r="D22" s="9">
        <f>ROUND(B22*C22,2)</f>
        <v>7102.42</v>
      </c>
      <c r="E22" s="9" t="s">
        <v>24</v>
      </c>
      <c r="F22" s="9" t="s">
        <v>26</v>
      </c>
    </row>
    <row r="23" spans="1:6">
      <c r="A23" s="8">
        <v>46174</v>
      </c>
      <c r="B23" s="9">
        <v>14000</v>
      </c>
      <c r="C23" s="9">
        <v>0.46389999999999998</v>
      </c>
      <c r="D23" s="9">
        <f>ROUND(B23*C23,2)</f>
        <v>6494.6</v>
      </c>
      <c r="E23" s="9" t="s">
        <v>24</v>
      </c>
      <c r="F23" s="9"/>
    </row>
    <row r="24" spans="1:6">
      <c r="A24" s="8">
        <v>46204</v>
      </c>
      <c r="B24" s="9">
        <v>13340</v>
      </c>
      <c r="C24" s="9">
        <v>0.46479999999999999</v>
      </c>
      <c r="D24" s="9">
        <f>ROUND(B24*C24,2)</f>
        <v>6200.43</v>
      </c>
      <c r="E24" s="9" t="s">
        <v>24</v>
      </c>
      <c r="F24" s="9"/>
    </row>
    <row r="25" spans="1:6">
      <c r="A25" s="8">
        <v>46235</v>
      </c>
      <c r="B25" s="9">
        <v>13340</v>
      </c>
      <c r="C25" s="9">
        <v>0.4657</v>
      </c>
      <c r="D25" s="9">
        <f>ROUND(B25*C25,2)</f>
        <v>6212.44</v>
      </c>
      <c r="E25" s="9" t="s">
        <v>24</v>
      </c>
      <c r="F2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20" customWidth="1"/>
    <col min="3" max="3" width="11" customWidth="1"/>
    <col min="4" max="4" width="36" customWidth="1"/>
    <col min="5" max="5" width="14" customWidth="1"/>
    <col min="6" max="6" width="10" customWidth="1"/>
    <col min="7" max="7" width="30" customWidth="1"/>
  </cols>
  <sheetData>
    <row r="1" spans="1:7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23</v>
      </c>
    </row>
    <row r="2" spans="1:7" ht="23.85">
      <c r="A2" s="10">
        <v>45550</v>
      </c>
      <c r="B2" s="4" t="s">
        <v>10</v>
      </c>
      <c r="C2" s="4" t="s">
        <v>33</v>
      </c>
      <c r="D2" s="4" t="s">
        <v>34</v>
      </c>
      <c r="E2" s="4">
        <v>3.7</v>
      </c>
      <c r="F2" s="4">
        <f>E2*500</f>
        <v>1850</v>
      </c>
      <c r="G2" s="4" t="s">
        <v>35</v>
      </c>
    </row>
    <row r="3" spans="1:7">
      <c r="A3" s="10">
        <v>45550</v>
      </c>
      <c r="B3" s="4" t="s">
        <v>10</v>
      </c>
      <c r="C3" s="4" t="s">
        <v>33</v>
      </c>
      <c r="D3" s="4" t="s">
        <v>36</v>
      </c>
      <c r="E3" s="4">
        <v>2.6</v>
      </c>
      <c r="F3" s="4">
        <f>E3*500</f>
        <v>1300</v>
      </c>
      <c r="G3" s="4"/>
    </row>
    <row r="4" spans="1:7" ht="23.85">
      <c r="A4" s="10">
        <v>45550</v>
      </c>
      <c r="B4" s="4" t="s">
        <v>10</v>
      </c>
      <c r="C4" s="4" t="s">
        <v>33</v>
      </c>
      <c r="D4" s="4" t="s">
        <v>37</v>
      </c>
      <c r="E4" s="4">
        <v>30.9</v>
      </c>
      <c r="F4" s="4">
        <f>E4*500</f>
        <v>15450</v>
      </c>
      <c r="G4" s="4" t="s">
        <v>38</v>
      </c>
    </row>
    <row r="5" spans="1:7" ht="23.85">
      <c r="A5" s="10">
        <v>45708</v>
      </c>
      <c r="B5" s="4" t="s">
        <v>10</v>
      </c>
      <c r="C5" s="4" t="s">
        <v>39</v>
      </c>
      <c r="D5" s="4" t="s">
        <v>34</v>
      </c>
      <c r="E5" s="4">
        <v>4.5999999999999996</v>
      </c>
      <c r="F5" s="4">
        <f>E5*500</f>
        <v>2300</v>
      </c>
      <c r="G5" s="4" t="s">
        <v>35</v>
      </c>
    </row>
    <row r="6" spans="1:7">
      <c r="A6" s="10">
        <v>45708</v>
      </c>
      <c r="B6" s="4" t="s">
        <v>10</v>
      </c>
      <c r="C6" s="4" t="s">
        <v>39</v>
      </c>
      <c r="D6" s="4" t="s">
        <v>36</v>
      </c>
      <c r="E6" s="4">
        <v>3.2</v>
      </c>
      <c r="F6" s="4">
        <f>E6*500</f>
        <v>1600</v>
      </c>
      <c r="G6" s="4"/>
    </row>
    <row r="7" spans="1:7" ht="23.85">
      <c r="A7" s="10">
        <v>45708</v>
      </c>
      <c r="B7" s="4" t="s">
        <v>10</v>
      </c>
      <c r="C7" s="4" t="s">
        <v>39</v>
      </c>
      <c r="D7" s="4" t="s">
        <v>37</v>
      </c>
      <c r="E7" s="4">
        <v>37.799999999999997</v>
      </c>
      <c r="F7" s="4">
        <f>E7*500</f>
        <v>18900</v>
      </c>
      <c r="G7" s="4" t="s">
        <v>38</v>
      </c>
    </row>
    <row r="8" spans="1:7" ht="23.85">
      <c r="A8" s="10">
        <v>45731</v>
      </c>
      <c r="B8" s="4" t="s">
        <v>12</v>
      </c>
      <c r="C8" s="4" t="s">
        <v>33</v>
      </c>
      <c r="D8" s="4" t="s">
        <v>34</v>
      </c>
      <c r="E8" s="4">
        <v>4.3</v>
      </c>
      <c r="F8" s="4">
        <f>E8*500</f>
        <v>2150</v>
      </c>
      <c r="G8" s="4" t="s">
        <v>35</v>
      </c>
    </row>
    <row r="9" spans="1:7">
      <c r="A9" s="10">
        <v>45731</v>
      </c>
      <c r="B9" s="4" t="s">
        <v>12</v>
      </c>
      <c r="C9" s="4" t="s">
        <v>33</v>
      </c>
      <c r="D9" s="4" t="s">
        <v>36</v>
      </c>
      <c r="E9" s="4">
        <v>3</v>
      </c>
      <c r="F9" s="4">
        <f>E9*500</f>
        <v>1500</v>
      </c>
      <c r="G9" s="4"/>
    </row>
    <row r="10" spans="1:7" ht="23.85">
      <c r="A10" s="10">
        <v>45731</v>
      </c>
      <c r="B10" s="4" t="s">
        <v>12</v>
      </c>
      <c r="C10" s="4" t="s">
        <v>33</v>
      </c>
      <c r="D10" s="4" t="s">
        <v>37</v>
      </c>
      <c r="E10" s="4">
        <v>35.6</v>
      </c>
      <c r="F10" s="4">
        <f>E10*500</f>
        <v>17800</v>
      </c>
      <c r="G10" s="4" t="s">
        <v>38</v>
      </c>
    </row>
    <row r="11" spans="1:7" ht="23.85">
      <c r="A11" s="10">
        <v>45889</v>
      </c>
      <c r="B11" s="4" t="s">
        <v>12</v>
      </c>
      <c r="C11" s="4" t="s">
        <v>39</v>
      </c>
      <c r="D11" s="4" t="s">
        <v>34</v>
      </c>
      <c r="E11" s="4">
        <v>5.2</v>
      </c>
      <c r="F11" s="4">
        <f>E11*500</f>
        <v>2600</v>
      </c>
      <c r="G11" s="4" t="s">
        <v>35</v>
      </c>
    </row>
    <row r="12" spans="1:7">
      <c r="A12" s="10">
        <v>45889</v>
      </c>
      <c r="B12" s="4" t="s">
        <v>12</v>
      </c>
      <c r="C12" s="4" t="s">
        <v>39</v>
      </c>
      <c r="D12" s="4" t="s">
        <v>36</v>
      </c>
      <c r="E12" s="4">
        <v>3.7</v>
      </c>
      <c r="F12" s="4">
        <f>E12*500</f>
        <v>1850</v>
      </c>
      <c r="G12" s="4"/>
    </row>
    <row r="13" spans="1:7" ht="23.85">
      <c r="A13" s="10">
        <v>45889</v>
      </c>
      <c r="B13" s="4" t="s">
        <v>12</v>
      </c>
      <c r="C13" s="4" t="s">
        <v>39</v>
      </c>
      <c r="D13" s="4" t="s">
        <v>37</v>
      </c>
      <c r="E13" s="4">
        <v>43.5</v>
      </c>
      <c r="F13" s="4">
        <f>E13*500</f>
        <v>21750</v>
      </c>
      <c r="G13" s="4" t="s">
        <v>38</v>
      </c>
    </row>
    <row r="14" spans="1:7" ht="23.85">
      <c r="A14" s="10">
        <v>45915</v>
      </c>
      <c r="B14" s="4" t="s">
        <v>14</v>
      </c>
      <c r="C14" s="4" t="s">
        <v>33</v>
      </c>
      <c r="D14" s="4" t="s">
        <v>34</v>
      </c>
      <c r="E14" s="4">
        <v>4.9000000000000004</v>
      </c>
      <c r="F14" s="4">
        <f>E14*500</f>
        <v>2450</v>
      </c>
      <c r="G14" s="4" t="s">
        <v>35</v>
      </c>
    </row>
    <row r="15" spans="1:7">
      <c r="A15" s="10">
        <v>45915</v>
      </c>
      <c r="B15" s="4" t="s">
        <v>14</v>
      </c>
      <c r="C15" s="4" t="s">
        <v>33</v>
      </c>
      <c r="D15" s="4" t="s">
        <v>36</v>
      </c>
      <c r="E15" s="4">
        <v>3.4</v>
      </c>
      <c r="F15" s="4">
        <f>E15*500</f>
        <v>1700</v>
      </c>
      <c r="G15" s="4"/>
    </row>
    <row r="16" spans="1:7" ht="23.85">
      <c r="A16" s="10">
        <v>45915</v>
      </c>
      <c r="B16" s="4" t="s">
        <v>14</v>
      </c>
      <c r="C16" s="4" t="s">
        <v>33</v>
      </c>
      <c r="D16" s="4" t="s">
        <v>37</v>
      </c>
      <c r="E16" s="4">
        <v>40.4</v>
      </c>
      <c r="F16" s="4">
        <f>E16*500</f>
        <v>20200</v>
      </c>
      <c r="G16" s="4" t="s">
        <v>38</v>
      </c>
    </row>
    <row r="17" spans="1:7" ht="23.85">
      <c r="A17" s="10">
        <v>46073</v>
      </c>
      <c r="B17" s="4" t="s">
        <v>14</v>
      </c>
      <c r="C17" s="4" t="s">
        <v>39</v>
      </c>
      <c r="D17" s="4" t="s">
        <v>34</v>
      </c>
      <c r="E17" s="4">
        <v>6</v>
      </c>
      <c r="F17" s="4">
        <f>E17*500</f>
        <v>3000</v>
      </c>
      <c r="G17" s="4" t="s">
        <v>35</v>
      </c>
    </row>
    <row r="18" spans="1:7">
      <c r="A18" s="10">
        <v>46073</v>
      </c>
      <c r="B18" s="4" t="s">
        <v>14</v>
      </c>
      <c r="C18" s="4" t="s">
        <v>39</v>
      </c>
      <c r="D18" s="4" t="s">
        <v>36</v>
      </c>
      <c r="E18" s="4">
        <v>4.2</v>
      </c>
      <c r="F18" s="4">
        <f>E18*500</f>
        <v>2100</v>
      </c>
      <c r="G18" s="4"/>
    </row>
    <row r="19" spans="1:7" ht="23.85">
      <c r="A19" s="10">
        <v>46073</v>
      </c>
      <c r="B19" s="4" t="s">
        <v>14</v>
      </c>
      <c r="C19" s="4" t="s">
        <v>39</v>
      </c>
      <c r="D19" s="4" t="s">
        <v>37</v>
      </c>
      <c r="E19" s="4">
        <v>49.4</v>
      </c>
      <c r="F19" s="4">
        <f>E19*500</f>
        <v>24700</v>
      </c>
      <c r="G19" s="4" t="s">
        <v>38</v>
      </c>
    </row>
    <row r="20" spans="1:7" ht="23.85">
      <c r="A20" s="10">
        <v>46096</v>
      </c>
      <c r="B20" s="4" t="s">
        <v>16</v>
      </c>
      <c r="C20" s="4" t="s">
        <v>33</v>
      </c>
      <c r="D20" s="4" t="s">
        <v>34</v>
      </c>
      <c r="E20" s="4">
        <v>5.5</v>
      </c>
      <c r="F20" s="4">
        <f>E20*500</f>
        <v>2750</v>
      </c>
      <c r="G20" s="4" t="s">
        <v>35</v>
      </c>
    </row>
    <row r="21" spans="1:7">
      <c r="A21" s="10">
        <v>46096</v>
      </c>
      <c r="B21" s="4" t="s">
        <v>16</v>
      </c>
      <c r="C21" s="4" t="s">
        <v>33</v>
      </c>
      <c r="D21" s="4" t="s">
        <v>36</v>
      </c>
      <c r="E21" s="4">
        <v>3.8</v>
      </c>
      <c r="F21" s="4">
        <f>E21*500</f>
        <v>1900</v>
      </c>
      <c r="G21" s="4"/>
    </row>
    <row r="22" spans="1:7" ht="23.85">
      <c r="A22" s="10">
        <v>46096</v>
      </c>
      <c r="B22" s="4" t="s">
        <v>16</v>
      </c>
      <c r="C22" s="4" t="s">
        <v>33</v>
      </c>
      <c r="D22" s="4" t="s">
        <v>37</v>
      </c>
      <c r="E22" s="4">
        <v>45.5</v>
      </c>
      <c r="F22" s="4">
        <f>E22*500</f>
        <v>22750</v>
      </c>
      <c r="G22" s="4" t="s">
        <v>38</v>
      </c>
    </row>
    <row r="23" spans="1:7" ht="23.85">
      <c r="A23" s="10">
        <v>46254</v>
      </c>
      <c r="B23" s="4" t="s">
        <v>16</v>
      </c>
      <c r="C23" s="4" t="s">
        <v>39</v>
      </c>
      <c r="D23" s="4" t="s">
        <v>34</v>
      </c>
      <c r="E23" s="4">
        <v>6.7</v>
      </c>
      <c r="F23" s="4">
        <f>E23*500</f>
        <v>3350</v>
      </c>
      <c r="G23" s="4" t="s">
        <v>35</v>
      </c>
    </row>
    <row r="24" spans="1:7">
      <c r="A24" s="10">
        <v>46254</v>
      </c>
      <c r="B24" s="4" t="s">
        <v>16</v>
      </c>
      <c r="C24" s="4" t="s">
        <v>39</v>
      </c>
      <c r="D24" s="4" t="s">
        <v>36</v>
      </c>
      <c r="E24" s="4">
        <v>4.7</v>
      </c>
      <c r="F24" s="4">
        <f>E24*500</f>
        <v>2350</v>
      </c>
      <c r="G24" s="4"/>
    </row>
    <row r="25" spans="1:7" ht="23.85">
      <c r="A25" s="10">
        <v>46254</v>
      </c>
      <c r="B25" s="4" t="s">
        <v>16</v>
      </c>
      <c r="C25" s="4" t="s">
        <v>39</v>
      </c>
      <c r="D25" s="4" t="s">
        <v>37</v>
      </c>
      <c r="E25" s="4">
        <v>55.7</v>
      </c>
      <c r="F25" s="4">
        <f>E25*500</f>
        <v>27850</v>
      </c>
      <c r="G25" s="4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2" width="20" customWidth="1"/>
    <col min="3" max="3" width="24" customWidth="1"/>
    <col min="4" max="4" width="16" customWidth="1"/>
    <col min="5" max="5" width="42" customWidth="1"/>
  </cols>
  <sheetData>
    <row r="1" spans="1:5">
      <c r="A1" s="3" t="s">
        <v>28</v>
      </c>
      <c r="B1" s="3" t="s">
        <v>40</v>
      </c>
      <c r="C1" s="3" t="s">
        <v>41</v>
      </c>
      <c r="D1" s="3" t="s">
        <v>42</v>
      </c>
      <c r="E1" s="3" t="s">
        <v>23</v>
      </c>
    </row>
    <row r="2" spans="1:5" ht="23.85">
      <c r="A2" s="4" t="s">
        <v>10</v>
      </c>
      <c r="B2" s="4">
        <v>1150</v>
      </c>
      <c r="C2" s="4" t="s">
        <v>43</v>
      </c>
      <c r="D2" s="10">
        <v>45536</v>
      </c>
      <c r="E2" s="4" t="s">
        <v>11</v>
      </c>
    </row>
    <row r="3" spans="1:5" ht="23.85">
      <c r="A3" s="4" t="s">
        <v>12</v>
      </c>
      <c r="B3" s="4">
        <v>1190</v>
      </c>
      <c r="C3" s="4" t="s">
        <v>43</v>
      </c>
      <c r="D3" s="10">
        <v>45717</v>
      </c>
      <c r="E3" s="4" t="s">
        <v>13</v>
      </c>
    </row>
    <row r="4" spans="1:5" ht="23.85">
      <c r="A4" s="4" t="s">
        <v>14</v>
      </c>
      <c r="B4" s="4">
        <v>1230</v>
      </c>
      <c r="C4" s="4" t="s">
        <v>43</v>
      </c>
      <c r="D4" s="10">
        <v>45901</v>
      </c>
      <c r="E4" s="4" t="s">
        <v>15</v>
      </c>
    </row>
    <row r="5" spans="1:5" ht="23.85">
      <c r="A5" s="4" t="s">
        <v>16</v>
      </c>
      <c r="B5" s="4">
        <v>1270</v>
      </c>
      <c r="C5" s="4" t="s">
        <v>43</v>
      </c>
      <c r="D5" s="10">
        <v>46082</v>
      </c>
      <c r="E5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Normal="100" workbookViewId="0"/>
  </sheetViews>
  <sheetFormatPr defaultColWidth="8.7109375" defaultRowHeight="15"/>
  <cols>
    <col min="1" max="1" width="32" customWidth="1"/>
    <col min="2" max="2" width="26" customWidth="1"/>
  </cols>
  <sheetData>
    <row r="1" spans="1:2" ht="23.85">
      <c r="A1" s="3" t="s">
        <v>44</v>
      </c>
      <c r="B1" s="3" t="s">
        <v>45</v>
      </c>
    </row>
    <row r="2" spans="1:2">
      <c r="A2" s="9" t="s">
        <v>46</v>
      </c>
      <c r="B2" s="11">
        <v>42</v>
      </c>
    </row>
    <row r="3" spans="1:2">
      <c r="A3" s="9" t="s">
        <v>47</v>
      </c>
      <c r="B3" s="11">
        <v>30</v>
      </c>
    </row>
    <row r="5" spans="1:2" ht="54.75" customHeight="1">
      <c r="A5" s="2" t="s">
        <v>48</v>
      </c>
      <c r="B5" s="2"/>
    </row>
  </sheetData>
  <mergeCells count="1"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/>
  </sheetViews>
  <sheetFormatPr defaultColWidth="8.7109375" defaultRowHeight="15"/>
  <cols>
    <col min="1" max="1" width="95" customWidth="1"/>
  </cols>
  <sheetData>
    <row r="1" spans="1:2" ht="17.45">
      <c r="A1" s="12" t="s">
        <v>49</v>
      </c>
      <c r="B1" s="12"/>
    </row>
    <row r="3" spans="1:2" ht="55.5" customHeight="1">
      <c r="A3" s="1" t="s">
        <v>50</v>
      </c>
      <c r="B3" s="1"/>
    </row>
    <row r="4" spans="1:2" ht="55.5" customHeight="1">
      <c r="A4" s="1" t="s">
        <v>51</v>
      </c>
      <c r="B4" s="1"/>
    </row>
    <row r="5" spans="1:2" ht="55.5" customHeight="1">
      <c r="A5" s="1" t="s">
        <v>52</v>
      </c>
      <c r="B5" s="1"/>
    </row>
    <row r="6" spans="1:2" ht="55.5" customHeight="1">
      <c r="A6" s="1" t="s">
        <v>53</v>
      </c>
      <c r="B6" s="1"/>
    </row>
    <row r="7" spans="1:2" ht="55.5" customHeight="1">
      <c r="A7" s="1" t="s">
        <v>54</v>
      </c>
      <c r="B7" s="1"/>
    </row>
    <row r="8" spans="1:2" ht="55.5" customHeight="1">
      <c r="A8" s="1" t="s">
        <v>55</v>
      </c>
      <c r="B8" s="1"/>
    </row>
    <row r="9" spans="1:2" ht="55.5" customHeight="1">
      <c r="A9" s="1" t="s">
        <v>56</v>
      </c>
      <c r="B9" s="1"/>
    </row>
    <row r="10" spans="1:2" ht="55.5" customHeight="1">
      <c r="A10" s="1" t="s">
        <v>57</v>
      </c>
      <c r="B10" s="1"/>
    </row>
  </sheetData>
  <mergeCells count="9">
    <mergeCell ref="A7:B7"/>
    <mergeCell ref="A8:B8"/>
    <mergeCell ref="A9:B9"/>
    <mergeCell ref="A10:B10"/>
    <mergeCell ref="A1:B1"/>
    <mergeCell ref="A3:B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'ABDUR RAHMAN 'AUF B. ALI</cp:lastModifiedBy>
  <cp:revision>0</cp:revision>
  <dcterms:created xsi:type="dcterms:W3CDTF">2026-08-27T08:51:23Z</dcterms:created>
  <dcterms:modified xsi:type="dcterms:W3CDTF">2026-08-27T09:04:37Z</dcterms:modified>
  <cp:category/>
  <cp:contentStatus/>
</cp:coreProperties>
</file>